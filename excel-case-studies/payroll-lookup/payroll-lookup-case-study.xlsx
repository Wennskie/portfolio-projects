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9"/>
  <workbookPr/>
  <mc:AlternateContent xmlns:mc="http://schemas.openxmlformats.org/markup-compatibility/2006">
    <mc:Choice Requires="x15">
      <x15ac:absPath xmlns:x15ac="http://schemas.microsoft.com/office/spreadsheetml/2010/11/ac" url="C:\Users\owene\Downloads\excel-case-studies\payroll-lookup\"/>
    </mc:Choice>
  </mc:AlternateContent>
  <xr:revisionPtr revIDLastSave="0" documentId="8_{386032AD-B0AA-4FA4-A68B-ED323868D63D}" xr6:coauthVersionLast="47" xr6:coauthVersionMax="47" xr10:uidLastSave="{00000000-0000-0000-0000-000000000000}"/>
  <bookViews>
    <workbookView xWindow="-120" yWindow="-120" windowWidth="29040" windowHeight="15720" firstSheet="5" activeTab="6" xr2:uid="{00000000-000D-0000-FFFF-FFFF00000000}"/>
  </bookViews>
  <sheets>
    <sheet name="Ringkasan" sheetId="1" r:id="rId1"/>
    <sheet name="Master Karyawan" sheetId="2" r:id="rId2"/>
    <sheet name="Tabel Golongan" sheetId="3" r:id="rId3"/>
    <sheet name="Tabel Tunjangan" sheetId="4" r:id="rId4"/>
    <sheet name="Tabel Tier" sheetId="5" r:id="rId5"/>
    <sheet name="Payroll Oktober" sheetId="6" r:id="rId6"/>
    <sheet name="Slip Gaji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7" l="1"/>
  <c r="B6" i="7"/>
  <c r="B5" i="7"/>
  <c r="B4" i="7"/>
  <c r="B3" i="7"/>
  <c r="J3" i="6"/>
  <c r="J4" i="6"/>
  <c r="J5" i="6"/>
  <c r="J6" i="6"/>
  <c r="J7" i="6"/>
  <c r="J2" i="6"/>
  <c r="I3" i="6"/>
  <c r="I4" i="6"/>
  <c r="I5" i="6"/>
  <c r="I6" i="6"/>
  <c r="I7" i="6"/>
  <c r="I2" i="6"/>
  <c r="F3" i="6"/>
  <c r="F4" i="6"/>
  <c r="F5" i="6"/>
  <c r="F6" i="6"/>
  <c r="F7" i="6"/>
  <c r="F2" i="6"/>
  <c r="E3" i="6"/>
  <c r="E4" i="6"/>
  <c r="E5" i="6"/>
  <c r="E6" i="6"/>
  <c r="E7" i="6"/>
  <c r="E2" i="6"/>
  <c r="B3" i="6"/>
  <c r="B4" i="6"/>
  <c r="B5" i="6"/>
  <c r="B6" i="6"/>
  <c r="B7" i="6"/>
  <c r="B2" i="6"/>
  <c r="D3" i="6"/>
  <c r="D4" i="6"/>
  <c r="D5" i="6"/>
  <c r="D6" i="6"/>
  <c r="D7" i="6"/>
  <c r="C3" i="6"/>
  <c r="C4" i="6"/>
  <c r="C5" i="6"/>
  <c r="C6" i="6"/>
  <c r="C7" i="6"/>
  <c r="D2" i="6"/>
  <c r="C2" i="6"/>
  <c r="B8" i="7" l="1"/>
</calcChain>
</file>

<file path=xl/sharedStrings.xml><?xml version="1.0" encoding="utf-8"?>
<sst xmlns="http://schemas.openxmlformats.org/spreadsheetml/2006/main" count="100" uniqueCount="61">
  <si>
    <t>Studi Kasus Excel: Payroll Oktober dan Slip Gaji Otomatis</t>
  </si>
  <si>
    <t>Latihan studi kasus dari kursus online (Mahir Lookup Excel), dikerjakan ulang di Excel dengan data yang sama.</t>
  </si>
  <si>
    <t>Brief (Bu Ratna, HR Manager): payroll Oktober harus siap tanggal 22 untuk dicek Pak Yosef.</t>
  </si>
  <si>
    <t>Daftar payroll baru berisi NIK. Lengkapi data karyawan dan semua komponen gaji dari tabel referensi.</t>
  </si>
  <si>
    <t>Komponen gaji dan sumbernya:</t>
  </si>
  <si>
    <t>• Nama, Divisi, Golongan: sheet 'Master Karyawan' (dicari dari NIK, exact match)</t>
  </si>
  <si>
    <t>• Gaji Pokok: sheet 'Tabel Golongan' (dicari dari Golongan, exact match)</t>
  </si>
  <si>
    <t>• Tunjangan Divisi: sheet 'Tabel Tunjangan' (dicari dari Divisi, exact match)</t>
  </si>
  <si>
    <t>• Tunjangan Masa Kerja: sheet 'Tabel Tier', tabel kiri (dicari dari Masa Kerja, approximate match)</t>
  </si>
  <si>
    <t>• Bonus KPI: Gaji Pokok × persentase dari sheet 'Tabel Tier', tabel kanan (dicari dari Skor KPI, approximate match)</t>
  </si>
  <si>
    <t>Permintaan lanjutan (Pak Yosef): template slip gaji di sheet 'Slip Gaji'. Cukup ketik NIK, semua komponen terisi sendiri.</t>
  </si>
  <si>
    <t>NIK</t>
  </si>
  <si>
    <t>Nama</t>
  </si>
  <si>
    <t>Divisi</t>
  </si>
  <si>
    <t>Golongan</t>
  </si>
  <si>
    <t>KLN-101</t>
  </si>
  <si>
    <t>Andi Saputra</t>
  </si>
  <si>
    <t>Gudang</t>
  </si>
  <si>
    <t>II-A</t>
  </si>
  <si>
    <t>KLN-102</t>
  </si>
  <si>
    <t>Bunga Lestari</t>
  </si>
  <si>
    <t>Finance</t>
  </si>
  <si>
    <t>III-A</t>
  </si>
  <si>
    <t>KLN-103</t>
  </si>
  <si>
    <t>Cahyo Nugroho</t>
  </si>
  <si>
    <t>Operasional</t>
  </si>
  <si>
    <t>II-B</t>
  </si>
  <si>
    <t>KLN-104</t>
  </si>
  <si>
    <t>Dina Marpaung</t>
  </si>
  <si>
    <t>Sales</t>
  </si>
  <si>
    <t>III-B</t>
  </si>
  <si>
    <t>KLN-106</t>
  </si>
  <si>
    <t>Fitri Handayani</t>
  </si>
  <si>
    <t>HRD</t>
  </si>
  <si>
    <t>KLN-108</t>
  </si>
  <si>
    <t>Hana Wijaya</t>
  </si>
  <si>
    <t>IT</t>
  </si>
  <si>
    <t>IV-A</t>
  </si>
  <si>
    <t>KLN-109</t>
  </si>
  <si>
    <t>Irfan Hakim</t>
  </si>
  <si>
    <t>KLN-110</t>
  </si>
  <si>
    <t>Juwita Siahaan</t>
  </si>
  <si>
    <t>KLN-111</t>
  </si>
  <si>
    <t>Komang Adi Putra</t>
  </si>
  <si>
    <t>KLN-112</t>
  </si>
  <si>
    <t>Lukman Harahap</t>
  </si>
  <si>
    <t>Gaji Pokok (Rp)</t>
  </si>
  <si>
    <t>Tunjangan (Rp)</t>
  </si>
  <si>
    <t>Masa Kerja Min (tahun)</t>
  </si>
  <si>
    <t>Tunjangan MK (Rp)</t>
  </si>
  <si>
    <t>Skor KPI Min</t>
  </si>
  <si>
    <t>Bonus (%)</t>
  </si>
  <si>
    <t>Kedua tabel diurutkan dari nilai terkecil, syarat untuk lookup approximate match.</t>
  </si>
  <si>
    <t>Tunjangan Divisi (Rp)</t>
  </si>
  <si>
    <t>Masa Kerja (tahun)</t>
  </si>
  <si>
    <t>Skor KPI</t>
  </si>
  <si>
    <t>Bonus KPI (Rp)</t>
  </si>
  <si>
    <t>SLIP GAJI OKTOBER 2026</t>
  </si>
  <si>
    <t>Gaji Pokok</t>
  </si>
  <si>
    <t>Tunjangan Divisi</t>
  </si>
  <si>
    <t>Total Gaji Tetap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</si>
</sst>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p&quot;#,##0"/>
  </numFmts>
  <fonts count="8">
    <font>
      <sz val="11"/>
      <color theme="1"/>
      <name val="Calibri"/>
      <family val="2"/>
      <scheme val="minor"/>
    </font>
    <font>
      <b/>
      <sz val="14"/>
      <name val="Arial"/>
    </font>
    <font>
      <sz val="10"/>
      <name val="Arial"/>
    </font>
    <font>
      <b/>
      <sz val="11"/>
      <name val="Arial"/>
    </font>
    <font>
      <b/>
      <sz val="11"/>
      <color rgb="FFFFFFFF"/>
      <name val="Arial"/>
    </font>
    <font>
      <sz val="11"/>
      <name val="Arial"/>
    </font>
    <font>
      <i/>
      <sz val="9"/>
      <color rgb="FF595959"/>
      <name val="Arial"/>
    </font>
    <font>
      <b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rgb="FF1D5A8C"/>
      </patternFill>
    </fill>
    <fill>
      <patternFill patternType="solid">
        <fgColor rgb="FFFFF2CC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/>
    <xf numFmtId="164" fontId="5" fillId="0" borderId="1" xfId="0" applyNumberFormat="1" applyFont="1" applyBorder="1"/>
    <xf numFmtId="1" fontId="5" fillId="0" borderId="1" xfId="0" applyNumberFormat="1" applyFont="1" applyBorder="1"/>
    <xf numFmtId="9" fontId="5" fillId="0" borderId="1" xfId="0" applyNumberFormat="1" applyFont="1" applyBorder="1"/>
    <xf numFmtId="0" fontId="6" fillId="0" borderId="0" xfId="0" applyFont="1"/>
    <xf numFmtId="0" fontId="5" fillId="3" borderId="1" xfId="0" applyFont="1" applyFill="1" applyBorder="1"/>
    <xf numFmtId="164" fontId="5" fillId="3" borderId="1" xfId="0" applyNumberFormat="1" applyFont="1" applyFill="1" applyBorder="1"/>
    <xf numFmtId="1" fontId="5" fillId="4" borderId="1" xfId="0" applyNumberFormat="1" applyFont="1" applyFill="1" applyBorder="1"/>
    <xf numFmtId="0" fontId="7" fillId="0" borderId="0" xfId="0" applyFont="1"/>
    <xf numFmtId="0" fontId="5" fillId="4" borderId="1" xfId="0" applyFont="1" applyFill="1" applyBorder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4"/>
  <sheetViews>
    <sheetView workbookViewId="0"/>
  </sheetViews>
  <sheetFormatPr defaultRowHeight="15"/>
  <cols>
    <col min="1" max="1" width="110" customWidth="1"/>
  </cols>
  <sheetData>
    <row r="1" spans="1:1" ht="18">
      <c r="A1" s="1" t="s">
        <v>0</v>
      </c>
    </row>
    <row r="2" spans="1:1">
      <c r="A2" s="2" t="s">
        <v>1</v>
      </c>
    </row>
    <row r="3" spans="1:1">
      <c r="A3" s="2"/>
    </row>
    <row r="4" spans="1:1">
      <c r="A4" s="3" t="s">
        <v>2</v>
      </c>
    </row>
    <row r="5" spans="1:1">
      <c r="A5" s="2" t="s">
        <v>3</v>
      </c>
    </row>
    <row r="6" spans="1:1">
      <c r="A6" s="2"/>
    </row>
    <row r="7" spans="1:1">
      <c r="A7" s="3" t="s">
        <v>4</v>
      </c>
    </row>
    <row r="8" spans="1:1">
      <c r="A8" s="2" t="s">
        <v>5</v>
      </c>
    </row>
    <row r="9" spans="1:1">
      <c r="A9" s="2" t="s">
        <v>6</v>
      </c>
    </row>
    <row r="10" spans="1:1">
      <c r="A10" s="2" t="s">
        <v>7</v>
      </c>
    </row>
    <row r="11" spans="1:1">
      <c r="A11" s="2" t="s">
        <v>8</v>
      </c>
    </row>
    <row r="12" spans="1:1">
      <c r="A12" s="2" t="s">
        <v>9</v>
      </c>
    </row>
    <row r="13" spans="1:1">
      <c r="A13" s="2"/>
    </row>
    <row r="14" spans="1:1" ht="30">
      <c r="A14" s="3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" customWidth="1"/>
    <col min="2" max="2" width="20" customWidth="1"/>
    <col min="3" max="3" width="14" customWidth="1"/>
    <col min="4" max="4" width="11" customWidth="1"/>
  </cols>
  <sheetData>
    <row r="1" spans="1:4">
      <c r="A1" s="4" t="s">
        <v>11</v>
      </c>
      <c r="B1" s="4" t="s">
        <v>12</v>
      </c>
      <c r="C1" s="4" t="s">
        <v>13</v>
      </c>
      <c r="D1" s="4" t="s">
        <v>14</v>
      </c>
    </row>
    <row r="2" spans="1:4">
      <c r="A2" s="5" t="s">
        <v>15</v>
      </c>
      <c r="B2" s="5" t="s">
        <v>16</v>
      </c>
      <c r="C2" s="5" t="s">
        <v>17</v>
      </c>
      <c r="D2" s="5" t="s">
        <v>18</v>
      </c>
    </row>
    <row r="3" spans="1:4">
      <c r="A3" s="5" t="s">
        <v>19</v>
      </c>
      <c r="B3" s="5" t="s">
        <v>20</v>
      </c>
      <c r="C3" s="5" t="s">
        <v>21</v>
      </c>
      <c r="D3" s="5" t="s">
        <v>22</v>
      </c>
    </row>
    <row r="4" spans="1:4">
      <c r="A4" s="5" t="s">
        <v>23</v>
      </c>
      <c r="B4" s="5" t="s">
        <v>24</v>
      </c>
      <c r="C4" s="5" t="s">
        <v>25</v>
      </c>
      <c r="D4" s="5" t="s">
        <v>26</v>
      </c>
    </row>
    <row r="5" spans="1:4">
      <c r="A5" s="5" t="s">
        <v>27</v>
      </c>
      <c r="B5" s="5" t="s">
        <v>28</v>
      </c>
      <c r="C5" s="5" t="s">
        <v>29</v>
      </c>
      <c r="D5" s="5" t="s">
        <v>30</v>
      </c>
    </row>
    <row r="6" spans="1:4">
      <c r="A6" s="5" t="s">
        <v>31</v>
      </c>
      <c r="B6" s="5" t="s">
        <v>32</v>
      </c>
      <c r="C6" s="5" t="s">
        <v>33</v>
      </c>
      <c r="D6" s="5" t="s">
        <v>22</v>
      </c>
    </row>
    <row r="7" spans="1:4">
      <c r="A7" s="5" t="s">
        <v>34</v>
      </c>
      <c r="B7" s="5" t="s">
        <v>35</v>
      </c>
      <c r="C7" s="5" t="s">
        <v>36</v>
      </c>
      <c r="D7" s="5" t="s">
        <v>37</v>
      </c>
    </row>
    <row r="8" spans="1:4">
      <c r="A8" s="5" t="s">
        <v>38</v>
      </c>
      <c r="B8" s="5" t="s">
        <v>39</v>
      </c>
      <c r="C8" s="5" t="s">
        <v>25</v>
      </c>
      <c r="D8" s="5" t="s">
        <v>30</v>
      </c>
    </row>
    <row r="9" spans="1:4">
      <c r="A9" s="5" t="s">
        <v>40</v>
      </c>
      <c r="B9" s="5" t="s">
        <v>41</v>
      </c>
      <c r="C9" s="5" t="s">
        <v>21</v>
      </c>
      <c r="D9" s="5" t="s">
        <v>26</v>
      </c>
    </row>
    <row r="10" spans="1:4">
      <c r="A10" s="5" t="s">
        <v>42</v>
      </c>
      <c r="B10" s="5" t="s">
        <v>43</v>
      </c>
      <c r="C10" s="5" t="s">
        <v>36</v>
      </c>
      <c r="D10" s="5" t="s">
        <v>22</v>
      </c>
    </row>
    <row r="11" spans="1:4">
      <c r="A11" s="5" t="s">
        <v>44</v>
      </c>
      <c r="B11" s="5" t="s">
        <v>45</v>
      </c>
      <c r="C11" s="5" t="s">
        <v>17</v>
      </c>
      <c r="D11" s="5" t="s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/>
  </sheetViews>
  <sheetFormatPr defaultRowHeight="15"/>
  <cols>
    <col min="1" max="1" width="11" customWidth="1"/>
    <col min="2" max="2" width="17" customWidth="1"/>
  </cols>
  <sheetData>
    <row r="1" spans="1:2">
      <c r="A1" s="4" t="s">
        <v>14</v>
      </c>
      <c r="B1" s="4" t="s">
        <v>46</v>
      </c>
    </row>
    <row r="2" spans="1:2">
      <c r="A2" s="5" t="s">
        <v>18</v>
      </c>
      <c r="B2" s="6">
        <v>5900000</v>
      </c>
    </row>
    <row r="3" spans="1:2">
      <c r="A3" s="5" t="s">
        <v>26</v>
      </c>
      <c r="B3" s="6">
        <v>6400000</v>
      </c>
    </row>
    <row r="4" spans="1:2">
      <c r="A4" s="5" t="s">
        <v>22</v>
      </c>
      <c r="B4" s="6">
        <v>7600000</v>
      </c>
    </row>
    <row r="5" spans="1:2">
      <c r="A5" s="5" t="s">
        <v>30</v>
      </c>
      <c r="B5" s="6">
        <v>8900000</v>
      </c>
    </row>
    <row r="6" spans="1:2">
      <c r="A6" s="5" t="s">
        <v>37</v>
      </c>
      <c r="B6" s="6">
        <v>12500000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7"/>
  <sheetViews>
    <sheetView workbookViewId="0"/>
  </sheetViews>
  <sheetFormatPr defaultRowHeight="15"/>
  <cols>
    <col min="1" max="1" width="14" customWidth="1"/>
    <col min="2" max="2" width="16" customWidth="1"/>
  </cols>
  <sheetData>
    <row r="1" spans="1:2" ht="30">
      <c r="A1" s="4" t="s">
        <v>13</v>
      </c>
      <c r="B1" s="4" t="s">
        <v>47</v>
      </c>
    </row>
    <row r="2" spans="1:2">
      <c r="A2" s="5" t="s">
        <v>21</v>
      </c>
      <c r="B2" s="6">
        <v>750000</v>
      </c>
    </row>
    <row r="3" spans="1:2">
      <c r="A3" s="5" t="s">
        <v>17</v>
      </c>
      <c r="B3" s="6">
        <v>600000</v>
      </c>
    </row>
    <row r="4" spans="1:2">
      <c r="A4" s="5" t="s">
        <v>33</v>
      </c>
      <c r="B4" s="6">
        <v>700000</v>
      </c>
    </row>
    <row r="5" spans="1:2">
      <c r="A5" s="5" t="s">
        <v>36</v>
      </c>
      <c r="B5" s="6">
        <v>1100000</v>
      </c>
    </row>
    <row r="6" spans="1:2">
      <c r="A6" s="5" t="s">
        <v>25</v>
      </c>
      <c r="B6" s="6">
        <v>650000</v>
      </c>
    </row>
    <row r="7" spans="1:2">
      <c r="A7" s="5" t="s">
        <v>29</v>
      </c>
      <c r="B7" s="6">
        <v>900000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7"/>
  <sheetViews>
    <sheetView workbookViewId="0"/>
  </sheetViews>
  <sheetFormatPr defaultRowHeight="15"/>
  <cols>
    <col min="1" max="1" width="14" customWidth="1"/>
    <col min="2" max="2" width="17" customWidth="1"/>
    <col min="3" max="3" width="3" customWidth="1"/>
    <col min="4" max="4" width="12" customWidth="1"/>
    <col min="5" max="5" width="11" customWidth="1"/>
  </cols>
  <sheetData>
    <row r="1" spans="1:5" ht="30">
      <c r="A1" s="4" t="s">
        <v>48</v>
      </c>
      <c r="B1" s="4" t="s">
        <v>49</v>
      </c>
      <c r="D1" s="4" t="s">
        <v>50</v>
      </c>
      <c r="E1" s="4" t="s">
        <v>51</v>
      </c>
    </row>
    <row r="2" spans="1:5">
      <c r="A2" s="7">
        <v>0</v>
      </c>
      <c r="B2" s="6">
        <v>0</v>
      </c>
      <c r="D2" s="7">
        <v>0</v>
      </c>
      <c r="E2" s="8">
        <v>0</v>
      </c>
    </row>
    <row r="3" spans="1:5">
      <c r="A3" s="7">
        <v>2</v>
      </c>
      <c r="B3" s="6">
        <v>250000</v>
      </c>
      <c r="D3" s="7">
        <v>60</v>
      </c>
      <c r="E3" s="8">
        <v>0.05</v>
      </c>
    </row>
    <row r="4" spans="1:5">
      <c r="A4" s="7">
        <v>5</v>
      </c>
      <c r="B4" s="6">
        <v>500000</v>
      </c>
      <c r="D4" s="7">
        <v>75</v>
      </c>
      <c r="E4" s="8">
        <v>0.1</v>
      </c>
    </row>
    <row r="5" spans="1:5">
      <c r="A5" s="7">
        <v>10</v>
      </c>
      <c r="B5" s="6">
        <v>1000000</v>
      </c>
      <c r="D5" s="7">
        <v>90</v>
      </c>
      <c r="E5" s="8">
        <v>0.15</v>
      </c>
    </row>
    <row r="7" spans="1:5">
      <c r="A7" s="9" t="s">
        <v>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7"/>
  <sheetViews>
    <sheetView workbookViewId="0">
      <pane xSplit="1" ySplit="1" topLeftCell="B2" activePane="bottomRight" state="frozen"/>
      <selection pane="bottomRight" activeCell="R15" sqref="R15"/>
      <selection pane="bottomLeft"/>
      <selection pane="topRight"/>
    </sheetView>
  </sheetViews>
  <sheetFormatPr defaultRowHeight="15"/>
  <cols>
    <col min="1" max="1" width="11" customWidth="1"/>
    <col min="2" max="2" width="20" customWidth="1"/>
    <col min="3" max="3" width="14" customWidth="1"/>
    <col min="4" max="4" width="11" customWidth="1"/>
    <col min="5" max="5" width="16" customWidth="1"/>
    <col min="6" max="6" width="18" customWidth="1"/>
    <col min="7" max="7" width="12" customWidth="1"/>
    <col min="8" max="8" width="10" customWidth="1"/>
    <col min="9" max="9" width="16" customWidth="1"/>
    <col min="10" max="10" width="15" customWidth="1"/>
  </cols>
  <sheetData>
    <row r="1" spans="1:10" ht="45">
      <c r="A1" s="4" t="s">
        <v>11</v>
      </c>
      <c r="B1" s="4" t="s">
        <v>12</v>
      </c>
      <c r="C1" s="4" t="s">
        <v>13</v>
      </c>
      <c r="D1" s="4" t="s">
        <v>14</v>
      </c>
      <c r="E1" s="4" t="s">
        <v>46</v>
      </c>
      <c r="F1" s="4" t="s">
        <v>53</v>
      </c>
      <c r="G1" s="4" t="s">
        <v>54</v>
      </c>
      <c r="H1" s="4" t="s">
        <v>55</v>
      </c>
      <c r="I1" s="4" t="s">
        <v>49</v>
      </c>
      <c r="J1" s="4" t="s">
        <v>56</v>
      </c>
    </row>
    <row r="2" spans="1:10">
      <c r="A2" s="5" t="s">
        <v>15</v>
      </c>
      <c r="B2" s="10" t="str">
        <f>_xlfn.XLOOKUP(A2, 'Master Karyawan'!$A$2:$A$11, 'Master Karyawan'!$B$2:$B$11)</f>
        <v>Andi Saputra</v>
      </c>
      <c r="C2" s="10" t="str">
        <f>_xlfn.XLOOKUP(A2, 'Master Karyawan'!$A$2:$A$11, 'Master Karyawan'!$C$2:$C$11)</f>
        <v>Gudang</v>
      </c>
      <c r="D2" s="10" t="str">
        <f>_xlfn.XLOOKUP(A2, 'Master Karyawan'!$A$2:$A$11, 'Master Karyawan'!$D$2:$D$11)</f>
        <v>II-A</v>
      </c>
      <c r="E2" s="11">
        <f>_xlfn.XLOOKUP(D2, 'Tabel Golongan'!$A$2:$A$6, 'Tabel Golongan'!$B$2:$B$6)</f>
        <v>5900000</v>
      </c>
      <c r="F2" s="11">
        <f>_xlfn.XLOOKUP(C2, 'Tabel Tunjangan'!$A$2:$A$7, 'Tabel Tunjangan'!$B$2:$B$7)</f>
        <v>600000</v>
      </c>
      <c r="G2" s="12">
        <v>5</v>
      </c>
      <c r="H2" s="12">
        <v>78</v>
      </c>
      <c r="I2" s="11">
        <f>_xlfn.XLOOKUP(G2, 'Tabel Tier'!$A$2:$A$5, 'Tabel Tier'!$B$2:$B$5, , -1)</f>
        <v>500000</v>
      </c>
      <c r="J2" s="11">
        <f>E2*_xlfn.XLOOKUP(H2, 'Tabel Tier'!$D$2:$D$5, 'Tabel Tier'!$E$2:$E$5, , -1)</f>
        <v>590000</v>
      </c>
    </row>
    <row r="3" spans="1:10">
      <c r="A3" s="5" t="s">
        <v>19</v>
      </c>
      <c r="B3" s="10" t="str">
        <f>_xlfn.XLOOKUP(A3, 'Master Karyawan'!$A$2:$A$11, 'Master Karyawan'!$B$2:$B$11)</f>
        <v>Bunga Lestari</v>
      </c>
      <c r="C3" s="10" t="str">
        <f>_xlfn.XLOOKUP(A3, 'Master Karyawan'!$A$2:$A$11, 'Master Karyawan'!$C$2:$C$11)</f>
        <v>Finance</v>
      </c>
      <c r="D3" s="10" t="str">
        <f>_xlfn.XLOOKUP(A3, 'Master Karyawan'!$A$2:$A$11, 'Master Karyawan'!$D$2:$D$11)</f>
        <v>III-A</v>
      </c>
      <c r="E3" s="11">
        <f>_xlfn.XLOOKUP(D3, 'Tabel Golongan'!$A$2:$A$6, 'Tabel Golongan'!$B$2:$B$6)</f>
        <v>7600000</v>
      </c>
      <c r="F3" s="11">
        <f>_xlfn.XLOOKUP(C3, 'Tabel Tunjangan'!$A$2:$A$7, 'Tabel Tunjangan'!$B$2:$B$7)</f>
        <v>750000</v>
      </c>
      <c r="G3" s="12">
        <v>9</v>
      </c>
      <c r="H3" s="12">
        <v>88</v>
      </c>
      <c r="I3" s="11">
        <f>_xlfn.XLOOKUP(G3, 'Tabel Tier'!$A$2:$A$5, 'Tabel Tier'!$B$2:$B$5, , -1)</f>
        <v>500000</v>
      </c>
      <c r="J3" s="11">
        <f>E3*_xlfn.XLOOKUP(H3, 'Tabel Tier'!$D$2:$D$5, 'Tabel Tier'!$E$2:$E$5, , -1)</f>
        <v>760000</v>
      </c>
    </row>
    <row r="4" spans="1:10">
      <c r="A4" s="5" t="s">
        <v>27</v>
      </c>
      <c r="B4" s="10" t="str">
        <f>_xlfn.XLOOKUP(A4, 'Master Karyawan'!$A$2:$A$11, 'Master Karyawan'!$B$2:$B$11)</f>
        <v>Dina Marpaung</v>
      </c>
      <c r="C4" s="10" t="str">
        <f>_xlfn.XLOOKUP(A4, 'Master Karyawan'!$A$2:$A$11, 'Master Karyawan'!$C$2:$C$11)</f>
        <v>Sales</v>
      </c>
      <c r="D4" s="10" t="str">
        <f>_xlfn.XLOOKUP(A4, 'Master Karyawan'!$A$2:$A$11, 'Master Karyawan'!$D$2:$D$11)</f>
        <v>III-B</v>
      </c>
      <c r="E4" s="11">
        <f>_xlfn.XLOOKUP(D4, 'Tabel Golongan'!$A$2:$A$6, 'Tabel Golongan'!$B$2:$B$6)</f>
        <v>8900000</v>
      </c>
      <c r="F4" s="11">
        <f>_xlfn.XLOOKUP(C4, 'Tabel Tunjangan'!$A$2:$A$7, 'Tabel Tunjangan'!$B$2:$B$7)</f>
        <v>900000</v>
      </c>
      <c r="G4" s="12">
        <v>11</v>
      </c>
      <c r="H4" s="12">
        <v>93</v>
      </c>
      <c r="I4" s="11">
        <f>_xlfn.XLOOKUP(G4, 'Tabel Tier'!$A$2:$A$5, 'Tabel Tier'!$B$2:$B$5, , -1)</f>
        <v>1000000</v>
      </c>
      <c r="J4" s="11">
        <f>E4*_xlfn.XLOOKUP(H4, 'Tabel Tier'!$D$2:$D$5, 'Tabel Tier'!$E$2:$E$5, , -1)</f>
        <v>1335000</v>
      </c>
    </row>
    <row r="5" spans="1:10">
      <c r="A5" s="5" t="s">
        <v>34</v>
      </c>
      <c r="B5" s="10" t="str">
        <f>_xlfn.XLOOKUP(A5, 'Master Karyawan'!$A$2:$A$11, 'Master Karyawan'!$B$2:$B$11)</f>
        <v>Hana Wijaya</v>
      </c>
      <c r="C5" s="10" t="str">
        <f>_xlfn.XLOOKUP(A5, 'Master Karyawan'!$A$2:$A$11, 'Master Karyawan'!$C$2:$C$11)</f>
        <v>IT</v>
      </c>
      <c r="D5" s="10" t="str">
        <f>_xlfn.XLOOKUP(A5, 'Master Karyawan'!$A$2:$A$11, 'Master Karyawan'!$D$2:$D$11)</f>
        <v>IV-A</v>
      </c>
      <c r="E5" s="11">
        <f>_xlfn.XLOOKUP(D5, 'Tabel Golongan'!$A$2:$A$6, 'Tabel Golongan'!$B$2:$B$6)</f>
        <v>12500000</v>
      </c>
      <c r="F5" s="11">
        <f>_xlfn.XLOOKUP(C5, 'Tabel Tunjangan'!$A$2:$A$7, 'Tabel Tunjangan'!$B$2:$B$7)</f>
        <v>1100000</v>
      </c>
      <c r="G5" s="12">
        <v>11</v>
      </c>
      <c r="H5" s="12">
        <v>90</v>
      </c>
      <c r="I5" s="11">
        <f>_xlfn.XLOOKUP(G5, 'Tabel Tier'!$A$2:$A$5, 'Tabel Tier'!$B$2:$B$5, , -1)</f>
        <v>1000000</v>
      </c>
      <c r="J5" s="11">
        <f>E5*_xlfn.XLOOKUP(H5, 'Tabel Tier'!$D$2:$D$5, 'Tabel Tier'!$E$2:$E$5, , -1)</f>
        <v>1875000</v>
      </c>
    </row>
    <row r="6" spans="1:10">
      <c r="A6" s="5" t="s">
        <v>38</v>
      </c>
      <c r="B6" s="10" t="str">
        <f>_xlfn.XLOOKUP(A6, 'Master Karyawan'!$A$2:$A$11, 'Master Karyawan'!$B$2:$B$11)</f>
        <v>Irfan Hakim</v>
      </c>
      <c r="C6" s="10" t="str">
        <f>_xlfn.XLOOKUP(A6, 'Master Karyawan'!$A$2:$A$11, 'Master Karyawan'!$C$2:$C$11)</f>
        <v>Operasional</v>
      </c>
      <c r="D6" s="10" t="str">
        <f>_xlfn.XLOOKUP(A6, 'Master Karyawan'!$A$2:$A$11, 'Master Karyawan'!$D$2:$D$11)</f>
        <v>III-B</v>
      </c>
      <c r="E6" s="11">
        <f>_xlfn.XLOOKUP(D6, 'Tabel Golongan'!$A$2:$A$6, 'Tabel Golongan'!$B$2:$B$6)</f>
        <v>8900000</v>
      </c>
      <c r="F6" s="11">
        <f>_xlfn.XLOOKUP(C6, 'Tabel Tunjangan'!$A$2:$A$7, 'Tabel Tunjangan'!$B$2:$B$7)</f>
        <v>650000</v>
      </c>
      <c r="G6" s="12">
        <v>6</v>
      </c>
      <c r="H6" s="12">
        <v>76</v>
      </c>
      <c r="I6" s="11">
        <f>_xlfn.XLOOKUP(G6, 'Tabel Tier'!$A$2:$A$5, 'Tabel Tier'!$B$2:$B$5, , -1)</f>
        <v>500000</v>
      </c>
      <c r="J6" s="11">
        <f>E6*_xlfn.XLOOKUP(H6, 'Tabel Tier'!$D$2:$D$5, 'Tabel Tier'!$E$2:$E$5, , -1)</f>
        <v>890000</v>
      </c>
    </row>
    <row r="7" spans="1:10">
      <c r="A7" s="5" t="s">
        <v>44</v>
      </c>
      <c r="B7" s="10" t="str">
        <f>_xlfn.XLOOKUP(A7, 'Master Karyawan'!$A$2:$A$11, 'Master Karyawan'!$B$2:$B$11)</f>
        <v>Lukman Harahap</v>
      </c>
      <c r="C7" s="10" t="str">
        <f>_xlfn.XLOOKUP(A7, 'Master Karyawan'!$A$2:$A$11, 'Master Karyawan'!$C$2:$C$11)</f>
        <v>Gudang</v>
      </c>
      <c r="D7" s="10" t="str">
        <f>_xlfn.XLOOKUP(A7, 'Master Karyawan'!$A$2:$A$11, 'Master Karyawan'!$D$2:$D$11)</f>
        <v>II-A</v>
      </c>
      <c r="E7" s="11">
        <f>_xlfn.XLOOKUP(D7, 'Tabel Golongan'!$A$2:$A$6, 'Tabel Golongan'!$B$2:$B$6)</f>
        <v>5900000</v>
      </c>
      <c r="F7" s="11">
        <f>_xlfn.XLOOKUP(C7, 'Tabel Tunjangan'!$A$2:$A$7, 'Tabel Tunjangan'!$B$2:$B$7)</f>
        <v>600000</v>
      </c>
      <c r="G7" s="12">
        <v>8</v>
      </c>
      <c r="H7" s="12">
        <v>60</v>
      </c>
      <c r="I7" s="11">
        <f>_xlfn.XLOOKUP(G7, 'Tabel Tier'!$A$2:$A$5, 'Tabel Tier'!$B$2:$B$5, , -1)</f>
        <v>500000</v>
      </c>
      <c r="J7" s="11">
        <f>E7*_xlfn.XLOOKUP(H7, 'Tabel Tier'!$D$2:$D$5, 'Tabel Tier'!$E$2:$E$5, , -1)</f>
        <v>295000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8"/>
  <sheetViews>
    <sheetView tabSelected="1" workbookViewId="0">
      <selection activeCell="B8" sqref="B8"/>
    </sheetView>
  </sheetViews>
  <sheetFormatPr defaultRowHeight="15"/>
  <cols>
    <col min="1" max="1" width="20" customWidth="1"/>
    <col min="2" max="2" width="22" customWidth="1"/>
  </cols>
  <sheetData>
    <row r="1" spans="1:2" ht="15.75">
      <c r="A1" s="13" t="s">
        <v>57</v>
      </c>
    </row>
    <row r="2" spans="1:2">
      <c r="A2" s="15" t="s">
        <v>11</v>
      </c>
      <c r="B2" s="14" t="s">
        <v>42</v>
      </c>
    </row>
    <row r="3" spans="1:2">
      <c r="A3" s="5" t="s">
        <v>12</v>
      </c>
      <c r="B3" s="10" t="str">
        <f>_xlfn.XLOOKUP(B2, 'Master Karyawan'!$A$2:$A$11, 'Master Karyawan'!$B$2:$B$11, "NIK tidak ditemukan")</f>
        <v>Komang Adi Putra</v>
      </c>
    </row>
    <row r="4" spans="1:2">
      <c r="A4" s="5" t="s">
        <v>13</v>
      </c>
      <c r="B4" s="10" t="str">
        <f>_xlfn.XLOOKUP(B2, 'Master Karyawan'!$A$2:$A$11, 'Master Karyawan'!$C$2:$C$11, "NIK tidak ditemukan")</f>
        <v>IT</v>
      </c>
    </row>
    <row r="5" spans="1:2">
      <c r="A5" s="5" t="s">
        <v>14</v>
      </c>
      <c r="B5" s="10" t="str">
        <f>_xlfn.XLOOKUP(B2, 'Master Karyawan'!$A$2:$A$11, 'Master Karyawan'!$D$2:$D$11, "NIK tidak ditemukan")</f>
        <v>III-A</v>
      </c>
    </row>
    <row r="6" spans="1:2">
      <c r="A6" s="5" t="s">
        <v>58</v>
      </c>
      <c r="B6" s="11">
        <f>_xlfn.XLOOKUP(B5, 'Tabel Golongan'!$A$2:$A$6, 'Tabel Golongan'!$B$2:$B$6, 0)</f>
        <v>7600000</v>
      </c>
    </row>
    <row r="7" spans="1:2">
      <c r="A7" s="5" t="s">
        <v>59</v>
      </c>
      <c r="B7" s="11">
        <f>_xlfn.XLOOKUP(B4, 'Tabel Tunjangan'!$A$2:$A$7, 'Tabel Tunjangan'!$B$2:$B$7, 0)</f>
        <v>1100000</v>
      </c>
    </row>
    <row r="8" spans="1:2">
      <c r="A8" s="15" t="s">
        <v>60</v>
      </c>
      <c r="B8" s="11">
        <f>B6+B7</f>
        <v>8700000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2026-10-27T14:09:06Z</dcterms:created>
  <dcterms:modified xsi:type="dcterms:W3CDTF">2026-10-27T14:41:54Z</dcterms:modified>
  <cp:category/>
  <cp:contentStatus/>
</cp:coreProperties>
</file>