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wene\Downloads\"/>
    </mc:Choice>
  </mc:AlternateContent>
  <xr:revisionPtr revIDLastSave="0" documentId="13_ncr:1_{573DFB89-57AD-4437-BC03-6578512C8E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ngkasan" sheetId="1" r:id="rId1"/>
    <sheet name="Rekap Komisi" sheetId="2" r:id="rId2"/>
    <sheet name="Catatan HR" sheetId="3" r:id="rId3"/>
    <sheet name="Ringkasan Tim" sheetId="4" r:id="rId4"/>
  </sheets>
  <calcPr calcId="191029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G3" i="4"/>
  <c r="G2" i="4"/>
  <c r="F3" i="3"/>
  <c r="F4" i="3"/>
  <c r="F5" i="3"/>
  <c r="F6" i="3"/>
  <c r="F7" i="3"/>
  <c r="F8" i="3"/>
  <c r="F9" i="3"/>
  <c r="F2" i="3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F3" i="2"/>
  <c r="F4" i="2"/>
  <c r="F5" i="2"/>
  <c r="F6" i="2"/>
  <c r="F7" i="2"/>
  <c r="F8" i="2"/>
  <c r="F9" i="2"/>
  <c r="F2" i="2"/>
</calcChain>
</file>

<file path=xl/sharedStrings.xml><?xml version="1.0" encoding="utf-8"?>
<sst xmlns="http://schemas.openxmlformats.org/spreadsheetml/2006/main" count="90" uniqueCount="44">
  <si>
    <t>Studi Kasus Excel: Rekap Komisi dan Evaluasi Tim Sales</t>
  </si>
  <si>
    <t>Latihan studi kasus dari kursus online (Mahir Rumus IF Excel), dikerjakan ulang di Excel dengan data yang sama.</t>
  </si>
  <si>
    <t>Brief 1 (Pak Hendra, Sales Manager): rekap komisi tim bulan Maret  →  sheet 'Rekap Komisi'</t>
  </si>
  <si>
    <t>1. Pencapaian = Realisasi / Target. Sales tanpa target (target 0) jangan sampai error, isi 0.</t>
  </si>
  <si>
    <t>2. Status: Melampaui (≥110%), Tercapai (≥100%), Belum. Yang tidak punya target: Tanpa Target.</t>
  </si>
  <si>
    <t>3. Komisi = Realisasi × tier: ≥110% 5%, ≥100% 3%, ≥90% 1,5%, sisanya 0.</t>
  </si>
  <si>
    <t>4. Bonus kehadiran = 2% × Realisasi, hanya jika Pencapaian ≥100% dan Hadir ≥20 hari.</t>
  </si>
  <si>
    <t>Brief 2 (Bu Ratna, HR): kolom Catatan HR untuk evaluasi bulanan  →  sheet 'Catatan HR'</t>
  </si>
  <si>
    <t>Pencapaian &lt;80% atau Hadir &lt;18 hari: Pembinaan (prioritas). Masa kerja ≥5 tahun dan Pencapaian ≥110%: Kandidat Promosi. Selain itu: -</t>
  </si>
  <si>
    <t>Brief 3 (Pak Hendra): ringkasan tim 12 sales  →  sheet 'Ringkasan Tim'</t>
  </si>
  <si>
    <t>Status tim: tercapai jika total Realisasi ≥ total Target. Kekurangan: selisih total Target dan total Realisasi, 0 jika tercapai.</t>
  </si>
  <si>
    <t>Nama Sales</t>
  </si>
  <si>
    <t>Cabang</t>
  </si>
  <si>
    <t>Target (Rp)</t>
  </si>
  <si>
    <t>Realisasi (Rp)</t>
  </si>
  <si>
    <t>Hadir (hari)</t>
  </si>
  <si>
    <t>Pencapaian</t>
  </si>
  <si>
    <t>Status</t>
  </si>
  <si>
    <t>Komisi (Rp)</t>
  </si>
  <si>
    <t>Bonus Hadir (Rp)</t>
  </si>
  <si>
    <t>Andi Pratama</t>
  </si>
  <si>
    <t>Jakarta</t>
  </si>
  <si>
    <t>Sinta Maharani</t>
  </si>
  <si>
    <t>Bayu Saputra</t>
  </si>
  <si>
    <t>Bandung</t>
  </si>
  <si>
    <t>Dewi Lestari</t>
  </si>
  <si>
    <t>Rizky Hidayat</t>
  </si>
  <si>
    <t>Surabaya</t>
  </si>
  <si>
    <t>Yohanes Manurung</t>
  </si>
  <si>
    <t>Medan</t>
  </si>
  <si>
    <t>Fitri Handayani</t>
  </si>
  <si>
    <t>Nanda Putri</t>
  </si>
  <si>
    <t>Masa Kerja (tahun)</t>
  </si>
  <si>
    <t>Catatan HR</t>
  </si>
  <si>
    <t>Ni Made Ayu</t>
  </si>
  <si>
    <t>Clara Wijaya</t>
  </si>
  <si>
    <t>Arif Rahman</t>
  </si>
  <si>
    <t>Makassar</t>
  </si>
  <si>
    <t>Ringkasan</t>
  </si>
  <si>
    <t>Hasil</t>
  </si>
  <si>
    <t>Status tim</t>
  </si>
  <si>
    <t>Kekurangan (Rp)</t>
  </si>
  <si>
    <t>Lia Kurniawati</t>
  </si>
  <si>
    <t>Taufik Ismail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</si>
</sst>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  <font>
      <i/>
      <sz val="11"/>
      <color rgb="FF7F600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D5A8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1" fontId="6" fillId="0" borderId="1" xfId="0" applyNumberFormat="1" applyFont="1" applyBorder="1"/>
    <xf numFmtId="9" fontId="6" fillId="2" borderId="1" xfId="0" applyNumberFormat="1" applyFont="1" applyFill="1" applyBorder="1"/>
    <xf numFmtId="0" fontId="6" fillId="2" borderId="1" xfId="0" applyFont="1" applyFill="1" applyBorder="1"/>
    <xf numFmtId="164" fontId="6" fillId="2" borderId="1" xfId="0" applyNumberFormat="1" applyFont="1" applyFill="1" applyBorder="1"/>
    <xf numFmtId="9" fontId="6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0" fontId="7" fillId="0" borderId="1" xfId="0" applyFont="1" applyBorder="1"/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>
      <selection activeCell="A25" sqref="A25"/>
    </sheetView>
  </sheetViews>
  <sheetFormatPr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x14ac:dyDescent="0.25">
      <c r="A10" s="3" t="s">
        <v>7</v>
      </c>
    </row>
    <row r="11" spans="1:1" ht="25.5" x14ac:dyDescent="0.25">
      <c r="A11" s="2" t="s">
        <v>8</v>
      </c>
    </row>
    <row r="12" spans="1:1" x14ac:dyDescent="0.25">
      <c r="A12" s="2"/>
    </row>
    <row r="13" spans="1:1" x14ac:dyDescent="0.25">
      <c r="A13" s="3" t="s">
        <v>9</v>
      </c>
    </row>
    <row r="14" spans="1:1" x14ac:dyDescent="0.25">
      <c r="A14" s="2" t="s">
        <v>10</v>
      </c>
    </row>
    <row r="15" spans="1:1" x14ac:dyDescent="0.25">
      <c r="A15" s="14"/>
    </row>
    <row r="16" spans="1:1" x14ac:dyDescent="0.25">
      <c r="A16" s="15"/>
    </row>
    <row r="17" spans="1:1" x14ac:dyDescent="0.25">
      <c r="A17" s="16"/>
    </row>
    <row r="18" spans="1:1" x14ac:dyDescent="0.25">
      <c r="A18" s="14"/>
    </row>
    <row r="19" spans="1:1" x14ac:dyDescent="0.25">
      <c r="A19" s="15"/>
    </row>
    <row r="20" spans="1:1" x14ac:dyDescent="0.25">
      <c r="A20" s="16"/>
    </row>
    <row r="21" spans="1:1" x14ac:dyDescent="0.25">
      <c r="A21" s="17"/>
    </row>
    <row r="22" spans="1:1" x14ac:dyDescent="0.25">
      <c r="A22" s="17"/>
    </row>
    <row r="23" spans="1:1" x14ac:dyDescent="0.25">
      <c r="A23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5" x14ac:dyDescent="0.25"/>
  <cols>
    <col min="1" max="1" width="20" customWidth="1"/>
    <col min="2" max="2" width="12" customWidth="1"/>
    <col min="3" max="4" width="16" customWidth="1"/>
    <col min="5" max="5" width="12" customWidth="1"/>
    <col min="6" max="6" width="13" customWidth="1"/>
    <col min="7" max="7" width="14" customWidth="1"/>
    <col min="8" max="8" width="15" customWidth="1"/>
    <col min="9" max="9" width="17" customWidth="1"/>
  </cols>
  <sheetData>
    <row r="1" spans="1:9" ht="30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 spans="1:9" x14ac:dyDescent="0.25">
      <c r="A2" s="5" t="s">
        <v>20</v>
      </c>
      <c r="B2" s="5" t="s">
        <v>21</v>
      </c>
      <c r="C2" s="6">
        <v>150000000</v>
      </c>
      <c r="D2" s="6">
        <v>172500000</v>
      </c>
      <c r="E2" s="7">
        <v>22</v>
      </c>
      <c r="F2" s="8">
        <f>IFERROR(D2/C2, 0)</f>
        <v>1.1499999999999999</v>
      </c>
      <c r="G2" s="9" t="str">
        <f>IF(C2=0, "Tanpa Target", IF(F2&gt;=110%, "Melampaui", IF(F2&gt;=100%, "Tercapai", "Belum")))</f>
        <v>Melampaui</v>
      </c>
      <c r="H2" s="10">
        <f>D2*_xlfn.IFS(F2&gt;=110%, 5%, F2&gt;=100%, 3%, F2&gt;=90%, 1.5%, TRUE, 0)</f>
        <v>8625000</v>
      </c>
      <c r="I2" s="10">
        <f>IF(AND(E2&gt;=20, F2&gt;=100%), D2*2%, 0)</f>
        <v>3450000</v>
      </c>
    </row>
    <row r="3" spans="1:9" x14ac:dyDescent="0.25">
      <c r="A3" s="5" t="s">
        <v>22</v>
      </c>
      <c r="B3" s="5" t="s">
        <v>21</v>
      </c>
      <c r="C3" s="6">
        <v>120000000</v>
      </c>
      <c r="D3" s="6">
        <v>98400000</v>
      </c>
      <c r="E3" s="7">
        <v>21</v>
      </c>
      <c r="F3" s="8">
        <f t="shared" ref="F3:F9" si="0">IFERROR(D3/C3, 0)</f>
        <v>0.82</v>
      </c>
      <c r="G3" s="9" t="str">
        <f t="shared" ref="G3:G9" si="1">IF(C3=0, "Tanpa Target", IF(F3&gt;=110%, "Melampaui", IF(F3&gt;=100%, "Tercapai", "Belum")))</f>
        <v>Belum</v>
      </c>
      <c r="H3" s="10">
        <f t="shared" ref="H3:H9" si="2">D3*_xlfn.IFS(F3&gt;=110%, 5%, F3&gt;=100%, 3%, F3&gt;=90%, 1.5%, TRUE, 0)</f>
        <v>0</v>
      </c>
      <c r="I3" s="10">
        <f t="shared" ref="I3:I9" si="3">IF(AND(E3&gt;=20, F3&gt;=100%), D3*2%, 0)</f>
        <v>0</v>
      </c>
    </row>
    <row r="4" spans="1:9" x14ac:dyDescent="0.25">
      <c r="A4" s="5" t="s">
        <v>23</v>
      </c>
      <c r="B4" s="5" t="s">
        <v>24</v>
      </c>
      <c r="C4" s="6">
        <v>80000000</v>
      </c>
      <c r="D4" s="6">
        <v>84000000</v>
      </c>
      <c r="E4" s="7">
        <v>22</v>
      </c>
      <c r="F4" s="8">
        <f t="shared" si="0"/>
        <v>1.05</v>
      </c>
      <c r="G4" s="9" t="str">
        <f t="shared" si="1"/>
        <v>Tercapai</v>
      </c>
      <c r="H4" s="10">
        <f t="shared" si="2"/>
        <v>2520000</v>
      </c>
      <c r="I4" s="10">
        <f t="shared" si="3"/>
        <v>1680000</v>
      </c>
    </row>
    <row r="5" spans="1:9" x14ac:dyDescent="0.25">
      <c r="A5" s="5" t="s">
        <v>25</v>
      </c>
      <c r="B5" s="5" t="s">
        <v>24</v>
      </c>
      <c r="C5" s="6">
        <v>130000000</v>
      </c>
      <c r="D5" s="6">
        <v>130000000</v>
      </c>
      <c r="E5" s="7">
        <v>20</v>
      </c>
      <c r="F5" s="8">
        <f t="shared" si="0"/>
        <v>1</v>
      </c>
      <c r="G5" s="9" t="str">
        <f t="shared" si="1"/>
        <v>Tercapai</v>
      </c>
      <c r="H5" s="10">
        <f t="shared" si="2"/>
        <v>3900000</v>
      </c>
      <c r="I5" s="10">
        <f t="shared" si="3"/>
        <v>2600000</v>
      </c>
    </row>
    <row r="6" spans="1:9" x14ac:dyDescent="0.25">
      <c r="A6" s="5" t="s">
        <v>26</v>
      </c>
      <c r="B6" s="5" t="s">
        <v>27</v>
      </c>
      <c r="C6" s="6">
        <v>90000000</v>
      </c>
      <c r="D6" s="6">
        <v>63000000</v>
      </c>
      <c r="E6" s="7">
        <v>20</v>
      </c>
      <c r="F6" s="8">
        <f t="shared" si="0"/>
        <v>0.7</v>
      </c>
      <c r="G6" s="9" t="str">
        <f t="shared" si="1"/>
        <v>Belum</v>
      </c>
      <c r="H6" s="10">
        <f t="shared" si="2"/>
        <v>0</v>
      </c>
      <c r="I6" s="10">
        <f t="shared" si="3"/>
        <v>0</v>
      </c>
    </row>
    <row r="7" spans="1:9" x14ac:dyDescent="0.25">
      <c r="A7" s="5" t="s">
        <v>28</v>
      </c>
      <c r="B7" s="5" t="s">
        <v>29</v>
      </c>
      <c r="C7" s="6">
        <v>110000000</v>
      </c>
      <c r="D7" s="6">
        <v>104500000</v>
      </c>
      <c r="E7" s="7">
        <v>19</v>
      </c>
      <c r="F7" s="8">
        <f t="shared" si="0"/>
        <v>0.95</v>
      </c>
      <c r="G7" s="9" t="str">
        <f t="shared" si="1"/>
        <v>Belum</v>
      </c>
      <c r="H7" s="10">
        <f t="shared" si="2"/>
        <v>1567500</v>
      </c>
      <c r="I7" s="10">
        <f t="shared" si="3"/>
        <v>0</v>
      </c>
    </row>
    <row r="8" spans="1:9" x14ac:dyDescent="0.25">
      <c r="A8" s="5" t="s">
        <v>30</v>
      </c>
      <c r="B8" s="5" t="s">
        <v>29</v>
      </c>
      <c r="C8" s="6">
        <v>75000000</v>
      </c>
      <c r="D8" s="6">
        <v>90000000</v>
      </c>
      <c r="E8" s="7">
        <v>18</v>
      </c>
      <c r="F8" s="8">
        <f t="shared" si="0"/>
        <v>1.2</v>
      </c>
      <c r="G8" s="9" t="str">
        <f t="shared" si="1"/>
        <v>Melampaui</v>
      </c>
      <c r="H8" s="10">
        <f t="shared" si="2"/>
        <v>4500000</v>
      </c>
      <c r="I8" s="10">
        <f t="shared" si="3"/>
        <v>0</v>
      </c>
    </row>
    <row r="9" spans="1:9" x14ac:dyDescent="0.25">
      <c r="A9" s="5" t="s">
        <v>31</v>
      </c>
      <c r="B9" s="5" t="s">
        <v>29</v>
      </c>
      <c r="C9" s="6">
        <v>0</v>
      </c>
      <c r="D9" s="6">
        <v>12000000</v>
      </c>
      <c r="E9" s="7">
        <v>6</v>
      </c>
      <c r="F9" s="8">
        <f t="shared" si="0"/>
        <v>0</v>
      </c>
      <c r="G9" s="9" t="str">
        <f t="shared" si="1"/>
        <v>Tanpa Target</v>
      </c>
      <c r="H9" s="10">
        <f t="shared" si="2"/>
        <v>0</v>
      </c>
      <c r="I9" s="10">
        <f t="shared" si="3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20" customWidth="1"/>
    <col min="2" max="2" width="12" customWidth="1"/>
    <col min="3" max="3" width="14" customWidth="1"/>
    <col min="4" max="4" width="13" customWidth="1"/>
    <col min="5" max="5" width="12" customWidth="1"/>
    <col min="6" max="6" width="18" customWidth="1"/>
  </cols>
  <sheetData>
    <row r="1" spans="1:6" ht="30" x14ac:dyDescent="0.25">
      <c r="A1" s="4" t="s">
        <v>11</v>
      </c>
      <c r="B1" s="4" t="s">
        <v>12</v>
      </c>
      <c r="C1" s="4" t="s">
        <v>32</v>
      </c>
      <c r="D1" s="4" t="s">
        <v>16</v>
      </c>
      <c r="E1" s="4" t="s">
        <v>15</v>
      </c>
      <c r="F1" s="4" t="s">
        <v>33</v>
      </c>
    </row>
    <row r="2" spans="1:6" x14ac:dyDescent="0.25">
      <c r="A2" s="5" t="s">
        <v>20</v>
      </c>
      <c r="B2" s="5" t="s">
        <v>21</v>
      </c>
      <c r="C2" s="7">
        <v>6</v>
      </c>
      <c r="D2" s="11">
        <v>1.1499999999999999</v>
      </c>
      <c r="E2" s="7">
        <v>22</v>
      </c>
      <c r="F2" s="9" t="str">
        <f>IF(OR(D2&lt;80%, E2&lt;18), "Pembinaan", IF(AND(C2&gt;=5, D2&gt;=110%), "Kandidat Promosi", "-"))</f>
        <v>Kandidat Promosi</v>
      </c>
    </row>
    <row r="3" spans="1:6" x14ac:dyDescent="0.25">
      <c r="A3" s="5" t="s">
        <v>22</v>
      </c>
      <c r="B3" s="5" t="s">
        <v>21</v>
      </c>
      <c r="C3" s="7">
        <v>3</v>
      </c>
      <c r="D3" s="11">
        <v>0.82</v>
      </c>
      <c r="E3" s="7">
        <v>21</v>
      </c>
      <c r="F3" s="9" t="str">
        <f t="shared" ref="F3:F9" si="0">IF(OR(D3&lt;80%, E3&lt;18), "Pembinaan", IF(AND(C3&gt;=5, D3&gt;=110%), "Kandidat Promosi", "-"))</f>
        <v>-</v>
      </c>
    </row>
    <row r="4" spans="1:6" x14ac:dyDescent="0.25">
      <c r="A4" s="5" t="s">
        <v>23</v>
      </c>
      <c r="B4" s="5" t="s">
        <v>24</v>
      </c>
      <c r="C4" s="7">
        <v>1</v>
      </c>
      <c r="D4" s="11">
        <v>1.05</v>
      </c>
      <c r="E4" s="7">
        <v>22</v>
      </c>
      <c r="F4" s="9" t="str">
        <f t="shared" si="0"/>
        <v>-</v>
      </c>
    </row>
    <row r="5" spans="1:6" x14ac:dyDescent="0.25">
      <c r="A5" s="5" t="s">
        <v>26</v>
      </c>
      <c r="B5" s="5" t="s">
        <v>27</v>
      </c>
      <c r="C5" s="7">
        <v>2</v>
      </c>
      <c r="D5" s="11">
        <v>0.7</v>
      </c>
      <c r="E5" s="7">
        <v>20</v>
      </c>
      <c r="F5" s="9" t="str">
        <f t="shared" si="0"/>
        <v>Pembinaan</v>
      </c>
    </row>
    <row r="6" spans="1:6" x14ac:dyDescent="0.25">
      <c r="A6" s="5" t="s">
        <v>34</v>
      </c>
      <c r="B6" s="5" t="s">
        <v>27</v>
      </c>
      <c r="C6" s="7">
        <v>5</v>
      </c>
      <c r="D6" s="11">
        <v>1.1499999999999999</v>
      </c>
      <c r="E6" s="7">
        <v>22</v>
      </c>
      <c r="F6" s="9" t="str">
        <f t="shared" si="0"/>
        <v>Kandidat Promosi</v>
      </c>
    </row>
    <row r="7" spans="1:6" x14ac:dyDescent="0.25">
      <c r="A7" s="5" t="s">
        <v>35</v>
      </c>
      <c r="B7" s="5" t="s">
        <v>27</v>
      </c>
      <c r="C7" s="7">
        <v>2</v>
      </c>
      <c r="D7" s="11">
        <v>1.05</v>
      </c>
      <c r="E7" s="7">
        <v>17</v>
      </c>
      <c r="F7" s="9" t="str">
        <f t="shared" si="0"/>
        <v>Pembinaan</v>
      </c>
    </row>
    <row r="8" spans="1:6" x14ac:dyDescent="0.25">
      <c r="A8" s="5" t="s">
        <v>36</v>
      </c>
      <c r="B8" s="5" t="s">
        <v>37</v>
      </c>
      <c r="C8" s="7">
        <v>10</v>
      </c>
      <c r="D8" s="11">
        <v>0.85</v>
      </c>
      <c r="E8" s="7">
        <v>22</v>
      </c>
      <c r="F8" s="9" t="str">
        <f t="shared" si="0"/>
        <v>-</v>
      </c>
    </row>
    <row r="9" spans="1:6" x14ac:dyDescent="0.25">
      <c r="A9" s="5" t="s">
        <v>30</v>
      </c>
      <c r="B9" s="5" t="s">
        <v>29</v>
      </c>
      <c r="C9" s="7">
        <v>1</v>
      </c>
      <c r="D9" s="11">
        <v>1.2</v>
      </c>
      <c r="E9" s="7">
        <v>18</v>
      </c>
      <c r="F9" s="9" t="str">
        <f t="shared" si="0"/>
        <v>-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20" customWidth="1"/>
    <col min="2" max="2" width="12" customWidth="1"/>
    <col min="3" max="4" width="16" customWidth="1"/>
    <col min="5" max="5" width="3" customWidth="1"/>
    <col min="6" max="6" width="18" customWidth="1"/>
    <col min="7" max="7" width="26" customWidth="1"/>
  </cols>
  <sheetData>
    <row r="1" spans="1:7" x14ac:dyDescent="0.25">
      <c r="A1" s="4" t="s">
        <v>11</v>
      </c>
      <c r="B1" s="4" t="s">
        <v>12</v>
      </c>
      <c r="C1" s="4" t="s">
        <v>13</v>
      </c>
      <c r="D1" s="4" t="s">
        <v>14</v>
      </c>
      <c r="F1" s="12" t="s">
        <v>38</v>
      </c>
      <c r="G1" s="12" t="s">
        <v>39</v>
      </c>
    </row>
    <row r="2" spans="1:7" x14ac:dyDescent="0.25">
      <c r="A2" s="5" t="s">
        <v>20</v>
      </c>
      <c r="B2" s="5" t="s">
        <v>21</v>
      </c>
      <c r="C2" s="6">
        <v>150000000</v>
      </c>
      <c r="D2" s="6">
        <v>172500000</v>
      </c>
      <c r="F2" s="13" t="s">
        <v>40</v>
      </c>
      <c r="G2" s="9" t="str">
        <f>IF(SUM(D2:D13)&gt;=SUM(C2:C13), "Target tim tercapai", "Target tim belum tercapai")</f>
        <v>Target tim belum tercapai</v>
      </c>
    </row>
    <row r="3" spans="1:7" x14ac:dyDescent="0.25">
      <c r="A3" s="5" t="s">
        <v>22</v>
      </c>
      <c r="B3" s="5" t="s">
        <v>21</v>
      </c>
      <c r="C3" s="6">
        <v>120000000</v>
      </c>
      <c r="D3" s="6">
        <v>98400000</v>
      </c>
      <c r="F3" s="13" t="s">
        <v>41</v>
      </c>
      <c r="G3" s="10">
        <f>IF(SUM(D2:D13)&lt;SUM(C2:C13), SUM(C2:C13)-SUM(D2:D13), 0)</f>
        <v>18850000</v>
      </c>
    </row>
    <row r="4" spans="1:7" x14ac:dyDescent="0.25">
      <c r="A4" s="5" t="s">
        <v>23</v>
      </c>
      <c r="B4" s="5" t="s">
        <v>24</v>
      </c>
      <c r="C4" s="6">
        <v>80000000</v>
      </c>
      <c r="D4" s="6">
        <v>84000000</v>
      </c>
    </row>
    <row r="5" spans="1:7" x14ac:dyDescent="0.25">
      <c r="A5" s="5" t="s">
        <v>25</v>
      </c>
      <c r="B5" s="5" t="s">
        <v>24</v>
      </c>
      <c r="C5" s="6">
        <v>130000000</v>
      </c>
      <c r="D5" s="6">
        <v>130000000</v>
      </c>
    </row>
    <row r="6" spans="1:7" x14ac:dyDescent="0.25">
      <c r="A6" s="5" t="s">
        <v>26</v>
      </c>
      <c r="B6" s="5" t="s">
        <v>27</v>
      </c>
      <c r="C6" s="6">
        <v>90000000</v>
      </c>
      <c r="D6" s="6">
        <v>63000000</v>
      </c>
    </row>
    <row r="7" spans="1:7" x14ac:dyDescent="0.25">
      <c r="A7" s="5" t="s">
        <v>34</v>
      </c>
      <c r="B7" s="5" t="s">
        <v>27</v>
      </c>
      <c r="C7" s="6">
        <v>140000000</v>
      </c>
      <c r="D7" s="6">
        <v>161000000</v>
      </c>
    </row>
    <row r="8" spans="1:7" x14ac:dyDescent="0.25">
      <c r="A8" s="5" t="s">
        <v>28</v>
      </c>
      <c r="B8" s="5" t="s">
        <v>29</v>
      </c>
      <c r="C8" s="6">
        <v>110000000</v>
      </c>
      <c r="D8" s="6">
        <v>104500000</v>
      </c>
    </row>
    <row r="9" spans="1:7" x14ac:dyDescent="0.25">
      <c r="A9" s="5" t="s">
        <v>30</v>
      </c>
      <c r="B9" s="5" t="s">
        <v>29</v>
      </c>
      <c r="C9" s="6">
        <v>75000000</v>
      </c>
      <c r="D9" s="6">
        <v>90000000</v>
      </c>
    </row>
    <row r="10" spans="1:7" x14ac:dyDescent="0.25">
      <c r="A10" s="5" t="s">
        <v>36</v>
      </c>
      <c r="B10" s="5" t="s">
        <v>37</v>
      </c>
      <c r="C10" s="6">
        <v>160000000</v>
      </c>
      <c r="D10" s="6">
        <v>136000000</v>
      </c>
    </row>
    <row r="11" spans="1:7" x14ac:dyDescent="0.25">
      <c r="A11" s="5" t="s">
        <v>42</v>
      </c>
      <c r="B11" s="5" t="s">
        <v>37</v>
      </c>
      <c r="C11" s="6">
        <v>60000000</v>
      </c>
      <c r="D11" s="6">
        <v>45000000</v>
      </c>
    </row>
    <row r="12" spans="1:7" x14ac:dyDescent="0.25">
      <c r="A12" s="5" t="s">
        <v>43</v>
      </c>
      <c r="B12" s="5" t="s">
        <v>21</v>
      </c>
      <c r="C12" s="6">
        <v>150000000</v>
      </c>
      <c r="D12" s="6">
        <v>157500000</v>
      </c>
    </row>
    <row r="13" spans="1:7" x14ac:dyDescent="0.25">
      <c r="A13" s="5" t="s">
        <v>35</v>
      </c>
      <c r="B13" s="5" t="s">
        <v>27</v>
      </c>
      <c r="C13" s="6">
        <v>85000000</v>
      </c>
      <c r="D13" s="6">
        <v>89250000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Rekap Komisi</vt:lpstr>
      <vt:lpstr>Catatan HR</vt:lpstr>
      <vt:lpstr>Ringkasan 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Elden</cp:lastModifiedBy>
  <dcterms:created xsi:type="dcterms:W3CDTF">2026-10-27T12:03:21Z</dcterms:created>
  <dcterms:modified xsi:type="dcterms:W3CDTF">2026-10-27T12:59:46Z</dcterms:modified>
</cp:coreProperties>
</file>